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\Dropbox\Universidad\100. Maestría\013. Seguridad en Aplicaciones\"/>
    </mc:Choice>
  </mc:AlternateContent>
  <xr:revisionPtr revIDLastSave="0" documentId="8_{9288C371-7024-4376-8F68-90360330D80E}" xr6:coauthVersionLast="47" xr6:coauthVersionMax="47" xr10:uidLastSave="{00000000-0000-0000-0000-000000000000}"/>
  <bookViews>
    <workbookView xWindow="14295" yWindow="0" windowWidth="14610" windowHeight="15585" xr2:uid="{055BBD5A-C5CA-49CD-A769-B45C806E020F}"/>
  </bookViews>
  <sheets>
    <sheet name="Parámetros" sheetId="1" r:id="rId1"/>
    <sheet name="Riesgos" sheetId="2" r:id="rId2"/>
    <sheet name="Top10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3" l="1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H2" i="3"/>
  <c r="I2" i="3" s="1"/>
  <c r="I4" i="2"/>
  <c r="I3" i="2"/>
  <c r="I2" i="2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H3" i="2"/>
  <c r="H2" i="2"/>
  <c r="E13" i="1"/>
  <c r="E14" i="1"/>
  <c r="E15" i="1"/>
  <c r="E12" i="1"/>
  <c r="E16" i="1" s="1"/>
  <c r="D13" i="1"/>
  <c r="D14" i="1"/>
  <c r="D15" i="1"/>
  <c r="D12" i="1"/>
  <c r="C13" i="1"/>
  <c r="C14" i="1"/>
  <c r="C15" i="1"/>
  <c r="C12" i="1"/>
  <c r="C16" i="1" s="1"/>
  <c r="B13" i="1"/>
  <c r="F13" i="1" s="1"/>
  <c r="B14" i="1"/>
  <c r="F14" i="1" s="1"/>
  <c r="B15" i="1"/>
  <c r="F15" i="1" s="1"/>
  <c r="B12" i="1"/>
  <c r="D16" i="1" l="1"/>
  <c r="B20" i="1"/>
  <c r="B23" i="1"/>
  <c r="B22" i="1"/>
  <c r="B21" i="1"/>
  <c r="F16" i="1"/>
  <c r="B16" i="1"/>
  <c r="F12" i="1"/>
  <c r="B24" i="1" l="1"/>
</calcChain>
</file>

<file path=xl/sharedStrings.xml><?xml version="1.0" encoding="utf-8"?>
<sst xmlns="http://schemas.openxmlformats.org/spreadsheetml/2006/main" count="378" uniqueCount="155">
  <si>
    <t>Impacto</t>
  </si>
  <si>
    <t>Valor</t>
  </si>
  <si>
    <t>Probabilidad</t>
  </si>
  <si>
    <t>Crítico</t>
  </si>
  <si>
    <t>Alto</t>
  </si>
  <si>
    <t>Medio</t>
  </si>
  <si>
    <t>Bajo</t>
  </si>
  <si>
    <t>Muy alta</t>
  </si>
  <si>
    <t>Alta</t>
  </si>
  <si>
    <t>Media</t>
  </si>
  <si>
    <t>Baja</t>
  </si>
  <si>
    <t>Muy Alta</t>
  </si>
  <si>
    <t>Rank</t>
  </si>
  <si>
    <t>IS</t>
  </si>
  <si>
    <t>Driagrama/Elemento</t>
  </si>
  <si>
    <t>STRIDE</t>
  </si>
  <si>
    <t>Amenaza</t>
  </si>
  <si>
    <t>Puntos</t>
  </si>
  <si>
    <t>Nivel</t>
  </si>
  <si>
    <t>Responsable</t>
  </si>
  <si>
    <t>Acción correctiva</t>
  </si>
  <si>
    <t>Fecha objetivo</t>
  </si>
  <si>
    <t>Estado</t>
  </si>
  <si>
    <t>Nivel de riesgo</t>
  </si>
  <si>
    <t>Puntos mínimos</t>
  </si>
  <si>
    <t>Impacto \ Prob</t>
  </si>
  <si>
    <t>Total</t>
  </si>
  <si>
    <t>Cantidad</t>
  </si>
  <si>
    <t>T-01</t>
  </si>
  <si>
    <t>N1 / P3</t>
  </si>
  <si>
    <t>Spoofing</t>
  </si>
  <si>
    <t>Toma de cuenta por credential stuffing, phishing en tiempo real o MFA débil</t>
  </si>
  <si>
    <t>CISO / Líder de Identidad</t>
  </si>
  <si>
    <t>MFA resistente a phishing, rate limiting adaptativo y verificación de credenciales filtradas</t>
  </si>
  <si>
    <t>Abierto</t>
  </si>
  <si>
    <t>T-02</t>
  </si>
  <si>
    <t>N1 / F2</t>
  </si>
  <si>
    <t>Tampering</t>
  </si>
  <si>
    <t>Manipulación de monto o destino en tránsito</t>
  </si>
  <si>
    <t>Líder de Arquitectura / Móvil</t>
  </si>
  <si>
    <t>TLS 1.3 y validaciones server-side (hito 1: 07/01/2027); pinning y firma de transacción (hito 2)</t>
  </si>
  <si>
    <t>T-03</t>
  </si>
  <si>
    <t>N2 / P4.2</t>
  </si>
  <si>
    <t>BOLA/IDOR: operar sobre cuentas ajenas</t>
  </si>
  <si>
    <t>Líder de Desarrollo</t>
  </si>
  <si>
    <t>Autorización por objeto, identificadores UUID y pruebas en CI</t>
  </si>
  <si>
    <t>T-04</t>
  </si>
  <si>
    <t>Elevation of Privilege</t>
  </si>
  <si>
    <t>Evasión de step-up y límites (BFLA, endpoints legacy)</t>
  </si>
  <si>
    <t>Desarrollo + Arquitectura</t>
  </si>
  <si>
    <t>Autorización centralizada, retiro de API v1, step-up obligatorio</t>
  </si>
  <si>
    <t>T-08</t>
  </si>
  <si>
    <t>N0 / E4</t>
  </si>
  <si>
    <t>Intercepción de OTP por SIM swap o malware</t>
  </si>
  <si>
    <t>Seguridad + Canales</t>
  </si>
  <si>
    <t>Migrar OTP por SMS a push/TOTP/FIDO2</t>
  </si>
  <si>
    <t>T-05</t>
  </si>
  <si>
    <t>N1 / D2</t>
  </si>
  <si>
    <t>Information Disclosure</t>
  </si>
  <si>
    <t>Inyección SQL y exfiltración masiva</t>
  </si>
  <si>
    <t>Desarrollo / DBA</t>
  </si>
  <si>
    <t>Parametrización, mínimo privilegio en BD y monitoreo de actividad</t>
  </si>
  <si>
    <t>T-06</t>
  </si>
  <si>
    <t>N1 / P8</t>
  </si>
  <si>
    <t>Abuso de privilegios por insider sin doble aprobación</t>
  </si>
  <si>
    <t>Seguridad / TI</t>
  </si>
  <si>
    <t>PAM y doble aprobación en backoffice</t>
  </si>
  <si>
    <t>T-07</t>
  </si>
  <si>
    <t>N2 / Q1</t>
  </si>
  <si>
    <t>Manipulación o repetición (replay) de mensajes en la cola</t>
  </si>
  <si>
    <t>Arquitectura / Middleware</t>
  </si>
  <si>
    <t>mTLS, firma de mensajes e idempotencia</t>
  </si>
  <si>
    <t>T-12</t>
  </si>
  <si>
    <t>N0 / E5</t>
  </si>
  <si>
    <t>Brecha en proveedor KYC que expone documentos de identidad</t>
  </si>
  <si>
    <t>Gestión de Terceros</t>
  </si>
  <si>
    <t>Evaluación del proveedor, minimización y tokenización</t>
  </si>
  <si>
    <t>T-14</t>
  </si>
  <si>
    <t>N1 / D5</t>
  </si>
  <si>
    <t>Secretos expuestos en repositorios, variables o imágenes</t>
  </si>
  <si>
    <t>DevSecOps</t>
  </si>
  <si>
    <t>Bóveda de secretos y escaneo pre-commit</t>
  </si>
  <si>
    <t>T-09</t>
  </si>
  <si>
    <t>N1 / P9</t>
  </si>
  <si>
    <t>Repudiation</t>
  </si>
  <si>
    <t>Logs sin integridad: negación de operaciones</t>
  </si>
  <si>
    <t>Seguridad / SOC</t>
  </si>
  <si>
    <t>Logs inmutables con ID de correlación y NTP</t>
  </si>
  <si>
    <t>T-10</t>
  </si>
  <si>
    <t>N1 / P2</t>
  </si>
  <si>
    <t>Denial of Service</t>
  </si>
  <si>
    <t>DDoS o scraping por ausencia de rate limiting</t>
  </si>
  <si>
    <t>Infraestructura / Redes</t>
  </si>
  <si>
    <t>Anti-DDoS, rate limiting y autoscaling</t>
  </si>
  <si>
    <t>T-11</t>
  </si>
  <si>
    <t>N1 / D3</t>
  </si>
  <si>
    <t>Secuestro de sesión o token sin rotación ni revocación</t>
  </si>
  <si>
    <t>Desarrollo / Identidad</t>
  </si>
  <si>
    <t>Tokens de vida corta, rotación y cookies seguras</t>
  </si>
  <si>
    <t>T-15</t>
  </si>
  <si>
    <t>N1 / P1</t>
  </si>
  <si>
    <t>App reempaquetada o SDK de terceros comprometido</t>
  </si>
  <si>
    <t>Móvil / DevSecOps</t>
  </si>
  <si>
    <t>Attestation, ofuscación y SCA/SBOM</t>
  </si>
  <si>
    <t>T-13</t>
  </si>
  <si>
    <t>N1 / D4</t>
  </si>
  <si>
    <t>Datos sensibles en logs en texto claro</t>
  </si>
  <si>
    <t>Desarrollo / DevSecOps</t>
  </si>
  <si>
    <t>Enmascaramiento de datos sensibles en logs</t>
  </si>
  <si>
    <t>T-16</t>
  </si>
  <si>
    <t>N1 / P6</t>
  </si>
  <si>
    <t>Saturación del core por picos desde canales digitales</t>
  </si>
  <si>
    <t>Infraestructura / Core</t>
  </si>
  <si>
    <t>Pruebas de carga y circuit breakers</t>
  </si>
  <si>
    <t>T-21</t>
  </si>
  <si>
    <t>N0 / E3</t>
  </si>
  <si>
    <t>Alteración o suplantación de mensajes con la red ACH</t>
  </si>
  <si>
    <t>Mensajería firmada con la red ACH</t>
  </si>
  <si>
    <t>T-17</t>
  </si>
  <si>
    <t>N2 / P4.4</t>
  </si>
  <si>
    <t>Cliente niega una transferencia (sin firma de transacción)</t>
  </si>
  <si>
    <t>Desarrollo</t>
  </si>
  <si>
    <t>Firma de transacción verificable</t>
  </si>
  <si>
    <t>T-20</t>
  </si>
  <si>
    <t>N0 / E2</t>
  </si>
  <si>
    <t>Suplantación de operador por credenciales compartidas</t>
  </si>
  <si>
    <t>Credenciales nominales con MFA</t>
  </si>
  <si>
    <t>T-23</t>
  </si>
  <si>
    <t>Datos sensibles en almacenamiento local o capturas de pantalla</t>
  </si>
  <si>
    <t>Móvil</t>
  </si>
  <si>
    <t>Protección del almacenamiento local</t>
  </si>
  <si>
    <t>T-18</t>
  </si>
  <si>
    <t>N1 / D1</t>
  </si>
  <si>
    <t>Hashes de contraseña expuestos con algoritmo débil</t>
  </si>
  <si>
    <t>Hash robusto con sal (Argon2id o bcrypt)</t>
  </si>
  <si>
    <t>T-19</t>
  </si>
  <si>
    <t>Errores verbosos y cabeceras que revelan tecnología</t>
  </si>
  <si>
    <t>Errores genéricos y cabeceras seguras</t>
  </si>
  <si>
    <t>T-22</t>
  </si>
  <si>
    <t>Agotamiento de caché y caída de sesiones</t>
  </si>
  <si>
    <t>Infraestructura</t>
  </si>
  <si>
    <t>Dimensionamiento de la caché</t>
  </si>
  <si>
    <t>T-24</t>
  </si>
  <si>
    <t>N0 / E6</t>
  </si>
  <si>
    <t>Reportes de auditoría con PII sin controles</t>
  </si>
  <si>
    <t>Seguridad / Cumplimiento</t>
  </si>
  <si>
    <t>Enmascarar PII en reportes exportados</t>
  </si>
  <si>
    <t>T-25</t>
  </si>
  <si>
    <t>Saturación del proveedor SMS: OTP no entregados</t>
  </si>
  <si>
    <t>SLA y proveedor alterno de SMS</t>
  </si>
  <si>
    <t>ID</t>
  </si>
  <si>
    <t>Diagrama/Elemento</t>
  </si>
  <si>
    <t>Acción Correctiva</t>
  </si>
  <si>
    <t>Fecha Objetivo</t>
  </si>
  <si>
    <t>Mapa de calor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</si>
</sst>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28">
    <dxf>
      <font>
        <b/>
        <color rgb="FF000000"/>
        <name val="Arial"/>
        <charset val="1"/>
      </font>
      <fill>
        <patternFill>
          <bgColor rgb="FF92D050"/>
        </patternFill>
      </fill>
    </dxf>
    <dxf>
      <font>
        <b/>
        <color rgb="FF000000"/>
        <name val="Arial"/>
        <charset val="1"/>
      </font>
      <fill>
        <patternFill>
          <bgColor rgb="FFFFFF0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  <dxf>
      <font>
        <b/>
        <color rgb="FF000000"/>
        <name val="Arial"/>
        <charset val="1"/>
      </font>
      <fill>
        <patternFill>
          <bgColor rgb="FFFFFF0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A9D08E"/>
        </patternFill>
      </fill>
    </dxf>
    <dxf>
      <font>
        <b/>
        <color rgb="FF000000"/>
        <name val="Arial"/>
        <charset val="1"/>
      </font>
      <fill>
        <patternFill>
          <bgColor rgb="FFFFD966"/>
        </patternFill>
      </fill>
    </dxf>
    <dxf>
      <font>
        <b/>
        <color rgb="FF000000"/>
        <name val="Arial"/>
        <charset val="1"/>
      </font>
      <fill>
        <patternFill>
          <bgColor rgb="FFF4B183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000000"/>
        <name val="Arial"/>
        <charset val="1"/>
      </font>
      <fill>
        <patternFill>
          <bgColor rgb="FFA9D08E"/>
        </patternFill>
      </fill>
    </dxf>
    <dxf>
      <font>
        <b/>
        <color rgb="FF000000"/>
        <name val="Arial"/>
        <charset val="1"/>
      </font>
      <fill>
        <patternFill>
          <bgColor rgb="FFFFD966"/>
        </patternFill>
      </fill>
    </dxf>
    <dxf>
      <font>
        <b/>
        <color rgb="FF000000"/>
        <name val="Arial"/>
        <charset val="1"/>
      </font>
      <fill>
        <patternFill>
          <bgColor rgb="FFF4B183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  <dxf>
      <font>
        <b/>
        <color rgb="FF000000"/>
        <name val="Arial"/>
        <charset val="1"/>
      </font>
      <fill>
        <patternFill>
          <bgColor rgb="FFFFFF0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matriz-riesgos-remediacion.xlsx" TargetMode="External"/><Relationship Id="rId2" Type="http://schemas.openxmlformats.org/officeDocument/2006/relationships/externalLinkPath" Target="file:///C:\Users\jeffr\Downloads\matriz-riesgos-remediacion.xlsx" TargetMode="External"/><Relationship Id="rId1" Type="http://schemas.openxmlformats.org/officeDocument/2006/relationships/externalLinkPath" Target="/Users/jeffr/Downloads/matriz-riesgos-remedi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ámetros"/>
      <sheetName val="Riesgos"/>
      <sheetName val="Top10"/>
    </sheetNames>
    <sheetDataSet>
      <sheetData sheetId="0">
        <row r="3">
          <cell r="A3" t="str">
            <v>Crítico</v>
          </cell>
          <cell r="B3">
            <v>4</v>
          </cell>
          <cell r="D3" t="str">
            <v>Muy Alta</v>
          </cell>
          <cell r="E3">
            <v>4</v>
          </cell>
        </row>
        <row r="4">
          <cell r="A4" t="str">
            <v>Alto</v>
          </cell>
          <cell r="B4">
            <v>3</v>
          </cell>
          <cell r="D4" t="str">
            <v>Alta</v>
          </cell>
          <cell r="E4">
            <v>3</v>
          </cell>
        </row>
        <row r="5">
          <cell r="A5" t="str">
            <v>Medio</v>
          </cell>
          <cell r="B5">
            <v>2</v>
          </cell>
          <cell r="D5" t="str">
            <v>Media</v>
          </cell>
          <cell r="E5">
            <v>2</v>
          </cell>
        </row>
        <row r="6">
          <cell r="A6" t="str">
            <v>Bajo</v>
          </cell>
          <cell r="B6">
            <v>1</v>
          </cell>
          <cell r="D6" t="str">
            <v>Baja</v>
          </cell>
          <cell r="E6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FA96F-E0FB-4AE5-91D7-9E99C969EAB7}" name="Tabla1" displayName="Tabla1" ref="A2:B6" totalsRowShown="0" headerRowDxfId="25" dataDxfId="24">
  <autoFilter ref="A2:B6" xr:uid="{17EFA96F-E0FB-4AE5-91D7-9E99C969EAB7}">
    <filterColumn colId="0" hiddenButton="1"/>
    <filterColumn colId="1" hiddenButton="1"/>
  </autoFilter>
  <tableColumns count="2">
    <tableColumn id="1" xr3:uid="{FBE8F3BB-921A-4B86-8118-7A4A995E8AE7}" name="Impacto" dataDxfId="27"/>
    <tableColumn id="2" xr3:uid="{9F8843C3-3087-48EA-8409-3117550BE29D}" name="Valor" dataDxfId="2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AD1593-C959-4114-AED7-E1E378A8F0AC}" name="Tabla2" displayName="Tabla2" ref="D2:E6" totalsRowShown="0" headerRowDxfId="21" dataDxfId="20">
  <autoFilter ref="D2:E6" xr:uid="{87AD1593-C959-4114-AED7-E1E378A8F0AC}">
    <filterColumn colId="0" hiddenButton="1"/>
    <filterColumn colId="1" hiddenButton="1"/>
  </autoFilter>
  <tableColumns count="2">
    <tableColumn id="1" xr3:uid="{25596B6A-79CA-4174-863C-983FA90D56F3}" name="Probabilidad" dataDxfId="23"/>
    <tableColumn id="2" xr3:uid="{B6131455-6222-4E3A-9E66-6D67CE075EDC}" name="Valor" dataDxfId="2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513B-387B-40C1-BA74-4463303AFE49}">
  <dimension ref="A2:H24"/>
  <sheetViews>
    <sheetView tabSelected="1" workbookViewId="0">
      <selection activeCell="A11" sqref="A11"/>
    </sheetView>
  </sheetViews>
  <sheetFormatPr baseColWidth="10" defaultRowHeight="15" x14ac:dyDescent="0.25"/>
  <cols>
    <col min="1" max="1" width="14" bestFit="1" customWidth="1"/>
    <col min="4" max="4" width="14.7109375" customWidth="1"/>
    <col min="7" max="7" width="14.42578125" bestFit="1" customWidth="1"/>
    <col min="8" max="8" width="15.5703125" bestFit="1" customWidth="1"/>
  </cols>
  <sheetData>
    <row r="2" spans="1:8" x14ac:dyDescent="0.25">
      <c r="A2" s="1" t="s">
        <v>0</v>
      </c>
      <c r="B2" s="1" t="s">
        <v>1</v>
      </c>
      <c r="D2" s="1" t="s">
        <v>2</v>
      </c>
      <c r="E2" s="1" t="s">
        <v>1</v>
      </c>
      <c r="G2" s="2" t="s">
        <v>23</v>
      </c>
      <c r="H2" s="3" t="s">
        <v>24</v>
      </c>
    </row>
    <row r="3" spans="1:8" x14ac:dyDescent="0.25">
      <c r="A3" s="1" t="s">
        <v>3</v>
      </c>
      <c r="B3" s="1">
        <v>4</v>
      </c>
      <c r="D3" s="1" t="s">
        <v>7</v>
      </c>
      <c r="E3" s="1">
        <v>4</v>
      </c>
      <c r="G3" s="4" t="s">
        <v>6</v>
      </c>
      <c r="H3" s="5">
        <v>1</v>
      </c>
    </row>
    <row r="4" spans="1:8" x14ac:dyDescent="0.25">
      <c r="A4" s="1" t="s">
        <v>4</v>
      </c>
      <c r="B4" s="1">
        <v>3</v>
      </c>
      <c r="D4" s="1" t="s">
        <v>8</v>
      </c>
      <c r="E4" s="1">
        <v>3</v>
      </c>
      <c r="G4" s="4" t="s">
        <v>5</v>
      </c>
      <c r="H4" s="5">
        <v>3</v>
      </c>
    </row>
    <row r="5" spans="1:8" x14ac:dyDescent="0.25">
      <c r="A5" s="1" t="s">
        <v>5</v>
      </c>
      <c r="B5" s="1">
        <v>2</v>
      </c>
      <c r="D5" s="1" t="s">
        <v>9</v>
      </c>
      <c r="E5" s="1">
        <v>2</v>
      </c>
      <c r="G5" s="4" t="s">
        <v>4</v>
      </c>
      <c r="H5" s="5">
        <v>6</v>
      </c>
    </row>
    <row r="6" spans="1:8" x14ac:dyDescent="0.25">
      <c r="A6" s="1" t="s">
        <v>6</v>
      </c>
      <c r="B6" s="1">
        <v>1</v>
      </c>
      <c r="D6" s="1" t="s">
        <v>10</v>
      </c>
      <c r="E6" s="1">
        <v>1</v>
      </c>
      <c r="G6" s="6" t="s">
        <v>3</v>
      </c>
      <c r="H6" s="7">
        <v>9</v>
      </c>
    </row>
    <row r="10" spans="1:8" x14ac:dyDescent="0.25">
      <c r="A10" t="s">
        <v>154</v>
      </c>
    </row>
    <row r="11" spans="1:8" x14ac:dyDescent="0.25">
      <c r="A11" s="2" t="s">
        <v>25</v>
      </c>
      <c r="B11" s="3" t="s">
        <v>10</v>
      </c>
      <c r="C11" s="2" t="s">
        <v>9</v>
      </c>
      <c r="D11" s="3" t="s">
        <v>8</v>
      </c>
      <c r="E11" s="2" t="s">
        <v>11</v>
      </c>
      <c r="F11" s="8" t="s">
        <v>26</v>
      </c>
    </row>
    <row r="12" spans="1:8" x14ac:dyDescent="0.25">
      <c r="A12" s="9" t="s">
        <v>3</v>
      </c>
      <c r="B12" s="17">
        <f>COUNTIFS(Riesgos!$F$2:$F$26,$A12,Riesgos!$G$2:$G$26,B$11)</f>
        <v>2</v>
      </c>
      <c r="C12" s="18">
        <f>COUNTIFS(Riesgos!$F$2:$F$26,$A12,Riesgos!$G$2:$G$26,C$11)</f>
        <v>5</v>
      </c>
      <c r="D12" s="19">
        <f>COUNTIFS(Riesgos!$F$2:$F$26,$A12,Riesgos!$G$2:$G$26,D$11)</f>
        <v>2</v>
      </c>
      <c r="E12" s="19">
        <f>COUNTIFS(Riesgos!$F$2:$F$26,$A12,Riesgos!$G$2:$G$26,E$11)</f>
        <v>1</v>
      </c>
      <c r="F12" s="9">
        <f>SUM(B12:E12)</f>
        <v>10</v>
      </c>
    </row>
    <row r="13" spans="1:8" x14ac:dyDescent="0.25">
      <c r="A13" s="9" t="s">
        <v>4</v>
      </c>
      <c r="B13" s="17">
        <f>COUNTIFS(Riesgos!$F$2:$F$26,$A13,Riesgos!$G$2:$G$26,B$11)</f>
        <v>1</v>
      </c>
      <c r="C13" s="18">
        <f>COUNTIFS(Riesgos!$F$2:$F$26,$A13,Riesgos!$G$2:$G$26,C$11)</f>
        <v>4</v>
      </c>
      <c r="D13" s="19">
        <f>COUNTIFS(Riesgos!$F$2:$F$26,$A13,Riesgos!$G$2:$G$26,D$11)</f>
        <v>2</v>
      </c>
      <c r="E13" s="19">
        <f>COUNTIFS(Riesgos!$F$2:$F$26,$A13,Riesgos!$G$2:$G$26,E$11)</f>
        <v>0</v>
      </c>
      <c r="F13" s="9">
        <f t="shared" ref="F13:F15" si="0">SUM(B13:E13)</f>
        <v>7</v>
      </c>
    </row>
    <row r="14" spans="1:8" x14ac:dyDescent="0.25">
      <c r="A14" s="9" t="s">
        <v>5</v>
      </c>
      <c r="B14" s="16">
        <f>COUNTIFS(Riesgos!$F$2:$F$26,$A14,Riesgos!$G$2:$G$26,B$11)</f>
        <v>1</v>
      </c>
      <c r="C14" s="17">
        <f>COUNTIFS(Riesgos!$F$2:$F$26,$A14,Riesgos!$G$2:$G$26,C$11)</f>
        <v>3</v>
      </c>
      <c r="D14" s="18">
        <f>COUNTIFS(Riesgos!$F$2:$F$26,$A14,Riesgos!$G$2:$G$26,D$11)</f>
        <v>1</v>
      </c>
      <c r="E14" s="18">
        <f>COUNTIFS(Riesgos!$F$2:$F$26,$A14,Riesgos!$G$2:$G$26,E$11)</f>
        <v>0</v>
      </c>
      <c r="F14" s="9">
        <f t="shared" si="0"/>
        <v>5</v>
      </c>
    </row>
    <row r="15" spans="1:8" x14ac:dyDescent="0.25">
      <c r="A15" s="9" t="s">
        <v>6</v>
      </c>
      <c r="B15" s="16">
        <f>COUNTIFS(Riesgos!$F$2:$F$26,$A15,Riesgos!$G$2:$G$26,B$11)</f>
        <v>1</v>
      </c>
      <c r="C15" s="16">
        <f>COUNTIFS(Riesgos!$F$2:$F$26,$A15,Riesgos!$G$2:$G$26,C$11)</f>
        <v>1</v>
      </c>
      <c r="D15" s="17">
        <f>COUNTIFS(Riesgos!$F$2:$F$26,$A15,Riesgos!$G$2:$G$26,D$11)</f>
        <v>1</v>
      </c>
      <c r="E15" s="17">
        <f>COUNTIFS(Riesgos!$F$2:$F$26,$A15,Riesgos!$G$2:$G$26,E$11)</f>
        <v>0</v>
      </c>
      <c r="F15" s="9">
        <f t="shared" si="0"/>
        <v>3</v>
      </c>
    </row>
    <row r="16" spans="1:8" x14ac:dyDescent="0.25">
      <c r="A16" s="10" t="s">
        <v>26</v>
      </c>
      <c r="B16" s="11">
        <f>SUM(B12:B15)</f>
        <v>5</v>
      </c>
      <c r="C16" s="11">
        <f t="shared" ref="C16:E16" si="1">SUM(C12:C15)</f>
        <v>13</v>
      </c>
      <c r="D16" s="11">
        <f t="shared" si="1"/>
        <v>6</v>
      </c>
      <c r="E16" s="11">
        <f t="shared" si="1"/>
        <v>1</v>
      </c>
      <c r="F16" s="10">
        <f>SUM(B12:E15)</f>
        <v>25</v>
      </c>
    </row>
    <row r="19" spans="1:2" x14ac:dyDescent="0.25">
      <c r="A19" s="2" t="s">
        <v>18</v>
      </c>
      <c r="B19" s="3" t="s">
        <v>27</v>
      </c>
    </row>
    <row r="20" spans="1:2" x14ac:dyDescent="0.25">
      <c r="A20" s="12" t="s">
        <v>3</v>
      </c>
      <c r="B20" s="5">
        <f>COUNTIF(Riesgos!$I$2:$I$26,A20)</f>
        <v>5</v>
      </c>
    </row>
    <row r="21" spans="1:2" x14ac:dyDescent="0.25">
      <c r="A21" s="13" t="s">
        <v>4</v>
      </c>
      <c r="B21" s="5">
        <f>COUNTIF(Riesgos!$I$2:$I$26,A21)</f>
        <v>10</v>
      </c>
    </row>
    <row r="22" spans="1:2" x14ac:dyDescent="0.25">
      <c r="A22" s="14" t="s">
        <v>5</v>
      </c>
      <c r="B22" s="5">
        <f>COUNTIF(Riesgos!$I$2:$I$26,A22)</f>
        <v>7</v>
      </c>
    </row>
    <row r="23" spans="1:2" x14ac:dyDescent="0.25">
      <c r="A23" s="15" t="s">
        <v>6</v>
      </c>
      <c r="B23" s="7">
        <f>COUNTIF(Riesgos!$I$2:$I$26,A23)</f>
        <v>3</v>
      </c>
    </row>
    <row r="24" spans="1:2" x14ac:dyDescent="0.25">
      <c r="A24" s="2" t="s">
        <v>26</v>
      </c>
      <c r="B24" s="3">
        <f>SUM(B20:B23)</f>
        <v>25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EDEB-C066-4532-8343-CDAAC2B28FC3}">
  <dimension ref="A1:M26"/>
  <sheetViews>
    <sheetView workbookViewId="0">
      <selection activeCell="L2" sqref="L2:L11"/>
    </sheetView>
  </sheetViews>
  <sheetFormatPr baseColWidth="10" defaultRowHeight="15" x14ac:dyDescent="0.25"/>
  <cols>
    <col min="1" max="1" width="5.42578125" bestFit="1" customWidth="1"/>
    <col min="2" max="2" width="4.7109375" bestFit="1" customWidth="1"/>
    <col min="3" max="3" width="19.7109375" bestFit="1" customWidth="1"/>
    <col min="4" max="4" width="22" bestFit="1" customWidth="1"/>
    <col min="5" max="5" width="68.5703125" bestFit="1" customWidth="1"/>
    <col min="6" max="6" width="8.28515625" bestFit="1" customWidth="1"/>
    <col min="7" max="7" width="12.28515625" bestFit="1" customWidth="1"/>
    <col min="8" max="8" width="7.28515625" bestFit="1" customWidth="1"/>
    <col min="9" max="9" width="7.140625" bestFit="1" customWidth="1"/>
    <col min="10" max="10" width="25.7109375" bestFit="1" customWidth="1"/>
    <col min="11" max="11" width="83.5703125" bestFit="1" customWidth="1"/>
    <col min="12" max="12" width="14.140625" bestFit="1" customWidth="1"/>
    <col min="13" max="13" width="7.5703125" bestFit="1" customWidth="1"/>
  </cols>
  <sheetData>
    <row r="1" spans="1:13" x14ac:dyDescent="0.25">
      <c r="A1" s="21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1" t="s">
        <v>0</v>
      </c>
      <c r="G1" s="21" t="s">
        <v>2</v>
      </c>
      <c r="H1" s="21" t="s">
        <v>17</v>
      </c>
      <c r="I1" s="21" t="s">
        <v>18</v>
      </c>
      <c r="J1" s="21" t="s">
        <v>19</v>
      </c>
      <c r="K1" s="21" t="s">
        <v>20</v>
      </c>
      <c r="L1" s="21" t="s">
        <v>21</v>
      </c>
      <c r="M1" s="21" t="s">
        <v>22</v>
      </c>
    </row>
    <row r="2" spans="1:13" x14ac:dyDescent="0.25">
      <c r="A2" s="9">
        <v>1</v>
      </c>
      <c r="B2" s="9" t="s">
        <v>28</v>
      </c>
      <c r="C2" s="9" t="s">
        <v>29</v>
      </c>
      <c r="D2" s="9" t="s">
        <v>30</v>
      </c>
      <c r="E2" s="9" t="s">
        <v>31</v>
      </c>
      <c r="F2" s="9" t="s">
        <v>3</v>
      </c>
      <c r="G2" s="9" t="s">
        <v>11</v>
      </c>
      <c r="H2" s="9">
        <f>VLOOKUP(F2,[1]Parámetros!$A$3:$B$6,2,FALSE())*VLOOKUP(G2,[1]Parámetros!$D$3:$E$6,2,FALSE())</f>
        <v>16</v>
      </c>
      <c r="I2" s="9" t="str">
        <f>IF(H2&gt;=Parámetros!$H$6,"Crítico",IF(H2&gt;=Parámetros!$H$5,"Alto",IF(H2&gt;=Parámetros!$H$4,"Medio","Bajo")))</f>
        <v>Crítico</v>
      </c>
      <c r="J2" s="9" t="s">
        <v>32</v>
      </c>
      <c r="K2" s="9" t="s">
        <v>33</v>
      </c>
      <c r="L2" s="20">
        <v>46394</v>
      </c>
      <c r="M2" s="9" t="s">
        <v>34</v>
      </c>
    </row>
    <row r="3" spans="1:13" x14ac:dyDescent="0.25">
      <c r="A3" s="9">
        <v>2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</v>
      </c>
      <c r="G3" s="9" t="s">
        <v>8</v>
      </c>
      <c r="H3" s="9">
        <f>VLOOKUP(F3,[1]Parámetros!$A$3:$B$6,2,FALSE())*VLOOKUP(G3,[1]Parámetros!$D$3:$E$6,2,FALSE())</f>
        <v>12</v>
      </c>
      <c r="I3" s="9" t="str">
        <f>IF(H3&gt;=Parámetros!$H$6,"Crítico",IF(H3&gt;=Parámetros!$H$5,"Alto",IF(H3&gt;=Parámetros!$H$4,"Medio","Bajo")))</f>
        <v>Crítico</v>
      </c>
      <c r="J3" s="9" t="s">
        <v>39</v>
      </c>
      <c r="K3" s="9" t="s">
        <v>40</v>
      </c>
      <c r="L3" s="20">
        <v>46484</v>
      </c>
      <c r="M3" s="9" t="s">
        <v>34</v>
      </c>
    </row>
    <row r="4" spans="1:13" x14ac:dyDescent="0.25">
      <c r="A4" s="9">
        <v>3</v>
      </c>
      <c r="B4" s="9" t="s">
        <v>41</v>
      </c>
      <c r="C4" s="9" t="s">
        <v>42</v>
      </c>
      <c r="D4" s="9" t="s">
        <v>37</v>
      </c>
      <c r="E4" s="9" t="s">
        <v>43</v>
      </c>
      <c r="F4" s="9" t="s">
        <v>3</v>
      </c>
      <c r="G4" s="9" t="s">
        <v>8</v>
      </c>
      <c r="H4" s="9">
        <f>VLOOKUP(F4,[1]Parámetros!$A$3:$B$6,2,FALSE())*VLOOKUP(G4,[1]Parámetros!$D$3:$E$6,2,FALSE())</f>
        <v>12</v>
      </c>
      <c r="I4" s="9" t="str">
        <f>IF(H4&gt;=Parámetros!$H$6,"Crítico",IF(H4&gt;=Parámetros!$H$5,"Alto",IF(H4&gt;=Parámetros!$H$4,"Medio","Bajo")))</f>
        <v>Crítico</v>
      </c>
      <c r="J4" s="9" t="s">
        <v>44</v>
      </c>
      <c r="K4" s="9" t="s">
        <v>45</v>
      </c>
      <c r="L4" s="20">
        <v>46394</v>
      </c>
      <c r="M4" s="9" t="s">
        <v>34</v>
      </c>
    </row>
    <row r="5" spans="1:13" x14ac:dyDescent="0.25">
      <c r="A5" s="9">
        <v>4</v>
      </c>
      <c r="B5" s="9" t="s">
        <v>46</v>
      </c>
      <c r="C5" s="9" t="s">
        <v>42</v>
      </c>
      <c r="D5" s="9" t="s">
        <v>47</v>
      </c>
      <c r="E5" s="9" t="s">
        <v>48</v>
      </c>
      <c r="F5" s="9" t="s">
        <v>4</v>
      </c>
      <c r="G5" s="9" t="s">
        <v>8</v>
      </c>
      <c r="H5" s="9">
        <f>VLOOKUP(F5,[1]Parámetros!$A$3:$B$6,2,FALSE())*VLOOKUP(G5,[1]Parámetros!$D$3:$E$6,2,FALSE())</f>
        <v>9</v>
      </c>
      <c r="I5" s="9" t="str">
        <f>IF(H5&gt;=Parámetros!$H$6,"Crítico",IF(H5&gt;=Parámetros!$H$5,"Alto",IF(H5&gt;=Parámetros!$H$4,"Medio","Bajo")))</f>
        <v>Crítico</v>
      </c>
      <c r="J5" s="9" t="s">
        <v>49</v>
      </c>
      <c r="K5" s="9" t="s">
        <v>50</v>
      </c>
      <c r="L5" s="20">
        <v>46394</v>
      </c>
      <c r="M5" s="9" t="s">
        <v>34</v>
      </c>
    </row>
    <row r="6" spans="1:13" x14ac:dyDescent="0.25">
      <c r="A6" s="9">
        <v>5</v>
      </c>
      <c r="B6" s="9" t="s">
        <v>51</v>
      </c>
      <c r="C6" s="9" t="s">
        <v>52</v>
      </c>
      <c r="D6" s="9" t="s">
        <v>30</v>
      </c>
      <c r="E6" s="9" t="s">
        <v>53</v>
      </c>
      <c r="F6" s="9" t="s">
        <v>4</v>
      </c>
      <c r="G6" s="9" t="s">
        <v>8</v>
      </c>
      <c r="H6" s="9">
        <f>VLOOKUP(F6,[1]Parámetros!$A$3:$B$6,2,FALSE())*VLOOKUP(G6,[1]Parámetros!$D$3:$E$6,2,FALSE())</f>
        <v>9</v>
      </c>
      <c r="I6" s="9" t="str">
        <f>IF(H6&gt;=Parámetros!$H$6,"Crítico",IF(H6&gt;=Parámetros!$H$5,"Alto",IF(H6&gt;=Parámetros!$H$4,"Medio","Bajo")))</f>
        <v>Crítico</v>
      </c>
      <c r="J6" s="9" t="s">
        <v>54</v>
      </c>
      <c r="K6" s="9" t="s">
        <v>55</v>
      </c>
      <c r="L6" s="20">
        <v>46484</v>
      </c>
      <c r="M6" s="9" t="s">
        <v>34</v>
      </c>
    </row>
    <row r="7" spans="1:13" x14ac:dyDescent="0.25">
      <c r="A7" s="9">
        <v>6</v>
      </c>
      <c r="B7" s="9" t="s">
        <v>56</v>
      </c>
      <c r="C7" s="9" t="s">
        <v>57</v>
      </c>
      <c r="D7" s="9" t="s">
        <v>58</v>
      </c>
      <c r="E7" s="9" t="s">
        <v>59</v>
      </c>
      <c r="F7" s="9" t="s">
        <v>3</v>
      </c>
      <c r="G7" s="9" t="s">
        <v>9</v>
      </c>
      <c r="H7" s="9">
        <f>VLOOKUP(F7,[1]Parámetros!$A$3:$B$6,2,FALSE())*VLOOKUP(G7,[1]Parámetros!$D$3:$E$6,2,FALSE())</f>
        <v>8</v>
      </c>
      <c r="I7" s="9" t="str">
        <f>IF(H7&gt;=Parámetros!$H$6,"Crítico",IF(H7&gt;=Parámetros!$H$5,"Alto",IF(H7&gt;=Parámetros!$H$4,"Medio","Bajo")))</f>
        <v>Alto</v>
      </c>
      <c r="J7" s="9" t="s">
        <v>60</v>
      </c>
      <c r="K7" s="9" t="s">
        <v>61</v>
      </c>
      <c r="L7" s="20">
        <v>46484</v>
      </c>
      <c r="M7" s="9" t="s">
        <v>34</v>
      </c>
    </row>
    <row r="8" spans="1:13" x14ac:dyDescent="0.25">
      <c r="A8" s="9">
        <v>7</v>
      </c>
      <c r="B8" s="9" t="s">
        <v>62</v>
      </c>
      <c r="C8" s="9" t="s">
        <v>63</v>
      </c>
      <c r="D8" s="9" t="s">
        <v>47</v>
      </c>
      <c r="E8" s="9" t="s">
        <v>64</v>
      </c>
      <c r="F8" s="9" t="s">
        <v>3</v>
      </c>
      <c r="G8" s="9" t="s">
        <v>9</v>
      </c>
      <c r="H8" s="9">
        <f>VLOOKUP(F8,[1]Parámetros!$A$3:$B$6,2,FALSE())*VLOOKUP(G8,[1]Parámetros!$D$3:$E$6,2,FALSE())</f>
        <v>8</v>
      </c>
      <c r="I8" s="9" t="str">
        <f>IF(H8&gt;=Parámetros!$H$6,"Crítico",IF(H8&gt;=Parámetros!$H$5,"Alto",IF(H8&gt;=Parámetros!$H$4,"Medio","Bajo")))</f>
        <v>Alto</v>
      </c>
      <c r="J8" s="9" t="s">
        <v>65</v>
      </c>
      <c r="K8" s="9" t="s">
        <v>66</v>
      </c>
      <c r="L8" s="20">
        <v>46484</v>
      </c>
      <c r="M8" s="9" t="s">
        <v>34</v>
      </c>
    </row>
    <row r="9" spans="1:13" x14ac:dyDescent="0.25">
      <c r="A9" s="9">
        <v>8</v>
      </c>
      <c r="B9" s="9" t="s">
        <v>67</v>
      </c>
      <c r="C9" s="9" t="s">
        <v>68</v>
      </c>
      <c r="D9" s="9" t="s">
        <v>37</v>
      </c>
      <c r="E9" s="9" t="s">
        <v>69</v>
      </c>
      <c r="F9" s="9" t="s">
        <v>3</v>
      </c>
      <c r="G9" s="9" t="s">
        <v>9</v>
      </c>
      <c r="H9" s="9">
        <f>VLOOKUP(F9,[1]Parámetros!$A$3:$B$6,2,FALSE())*VLOOKUP(G9,[1]Parámetros!$D$3:$E$6,2,FALSE())</f>
        <v>8</v>
      </c>
      <c r="I9" s="9" t="str">
        <f>IF(H9&gt;=Parámetros!$H$6,"Crítico",IF(H9&gt;=Parámetros!$H$5,"Alto",IF(H9&gt;=Parámetros!$H$4,"Medio","Bajo")))</f>
        <v>Alto</v>
      </c>
      <c r="J9" s="9" t="s">
        <v>70</v>
      </c>
      <c r="K9" s="9" t="s">
        <v>71</v>
      </c>
      <c r="L9" s="20">
        <v>46484</v>
      </c>
      <c r="M9" s="9" t="s">
        <v>34</v>
      </c>
    </row>
    <row r="10" spans="1:13" x14ac:dyDescent="0.25">
      <c r="A10" s="9">
        <v>9</v>
      </c>
      <c r="B10" s="9" t="s">
        <v>72</v>
      </c>
      <c r="C10" s="9" t="s">
        <v>73</v>
      </c>
      <c r="D10" s="9" t="s">
        <v>58</v>
      </c>
      <c r="E10" s="9" t="s">
        <v>74</v>
      </c>
      <c r="F10" s="9" t="s">
        <v>3</v>
      </c>
      <c r="G10" s="9" t="s">
        <v>9</v>
      </c>
      <c r="H10" s="9">
        <f>VLOOKUP(F10,[1]Parámetros!$A$3:$B$6,2,FALSE())*VLOOKUP(G10,[1]Parámetros!$D$3:$E$6,2,FALSE())</f>
        <v>8</v>
      </c>
      <c r="I10" s="9" t="str">
        <f>IF(H10&gt;=Parámetros!$H$6,"Crítico",IF(H10&gt;=Parámetros!$H$5,"Alto",IF(H10&gt;=Parámetros!$H$4,"Medio","Bajo")))</f>
        <v>Alto</v>
      </c>
      <c r="J10" s="9" t="s">
        <v>75</v>
      </c>
      <c r="K10" s="9" t="s">
        <v>76</v>
      </c>
      <c r="L10" s="20">
        <v>46667</v>
      </c>
      <c r="M10" s="9" t="s">
        <v>34</v>
      </c>
    </row>
    <row r="11" spans="1:13" x14ac:dyDescent="0.25">
      <c r="A11" s="9">
        <v>10</v>
      </c>
      <c r="B11" s="9" t="s">
        <v>77</v>
      </c>
      <c r="C11" s="9" t="s">
        <v>78</v>
      </c>
      <c r="D11" s="9" t="s">
        <v>58</v>
      </c>
      <c r="E11" s="9" t="s">
        <v>79</v>
      </c>
      <c r="F11" s="9" t="s">
        <v>3</v>
      </c>
      <c r="G11" s="9" t="s">
        <v>9</v>
      </c>
      <c r="H11" s="9">
        <f>VLOOKUP(F11,[1]Parámetros!$A$3:$B$6,2,FALSE())*VLOOKUP(G11,[1]Parámetros!$D$3:$E$6,2,FALSE())</f>
        <v>8</v>
      </c>
      <c r="I11" s="9" t="str">
        <f>IF(H11&gt;=Parámetros!$H$6,"Crítico",IF(H11&gt;=Parámetros!$H$5,"Alto",IF(H11&gt;=Parámetros!$H$4,"Medio","Bajo")))</f>
        <v>Alto</v>
      </c>
      <c r="J11" s="9" t="s">
        <v>80</v>
      </c>
      <c r="K11" s="9" t="s">
        <v>81</v>
      </c>
      <c r="L11" s="20">
        <v>46394</v>
      </c>
      <c r="M11" s="9" t="s">
        <v>34</v>
      </c>
    </row>
    <row r="12" spans="1:13" x14ac:dyDescent="0.25">
      <c r="A12" s="9">
        <v>11</v>
      </c>
      <c r="B12" s="9" t="s">
        <v>82</v>
      </c>
      <c r="C12" s="9" t="s">
        <v>83</v>
      </c>
      <c r="D12" s="9" t="s">
        <v>84</v>
      </c>
      <c r="E12" s="9" t="s">
        <v>85</v>
      </c>
      <c r="F12" s="9" t="s">
        <v>4</v>
      </c>
      <c r="G12" s="9" t="s">
        <v>9</v>
      </c>
      <c r="H12" s="9">
        <f>VLOOKUP(F12,[1]Parámetros!$A$3:$B$6,2,FALSE())*VLOOKUP(G12,[1]Parámetros!$D$3:$E$6,2,FALSE())</f>
        <v>6</v>
      </c>
      <c r="I12" s="9" t="str">
        <f>IF(H12&gt;=Parámetros!$H$6,"Crítico",IF(H12&gt;=Parámetros!$H$5,"Alto",IF(H12&gt;=Parámetros!$H$4,"Medio","Bajo")))</f>
        <v>Alto</v>
      </c>
      <c r="J12" s="9" t="s">
        <v>86</v>
      </c>
      <c r="K12" s="9" t="s">
        <v>87</v>
      </c>
      <c r="L12" s="20">
        <v>46484</v>
      </c>
      <c r="M12" s="9" t="s">
        <v>34</v>
      </c>
    </row>
    <row r="13" spans="1:13" x14ac:dyDescent="0.25">
      <c r="A13" s="9">
        <v>12</v>
      </c>
      <c r="B13" s="9" t="s">
        <v>88</v>
      </c>
      <c r="C13" s="9" t="s">
        <v>89</v>
      </c>
      <c r="D13" s="9" t="s">
        <v>90</v>
      </c>
      <c r="E13" s="9" t="s">
        <v>91</v>
      </c>
      <c r="F13" s="9" t="s">
        <v>4</v>
      </c>
      <c r="G13" s="9" t="s">
        <v>9</v>
      </c>
      <c r="H13" s="9">
        <f>VLOOKUP(F13,[1]Parámetros!$A$3:$B$6,2,FALSE())*VLOOKUP(G13,[1]Parámetros!$D$3:$E$6,2,FALSE())</f>
        <v>6</v>
      </c>
      <c r="I13" s="9" t="str">
        <f>IF(H13&gt;=Parámetros!$H$6,"Crítico",IF(H13&gt;=Parámetros!$H$5,"Alto",IF(H13&gt;=Parámetros!$H$4,"Medio","Bajo")))</f>
        <v>Alto</v>
      </c>
      <c r="J13" s="9" t="s">
        <v>92</v>
      </c>
      <c r="K13" s="9" t="s">
        <v>93</v>
      </c>
      <c r="L13" s="20">
        <v>46394</v>
      </c>
      <c r="M13" s="9" t="s">
        <v>34</v>
      </c>
    </row>
    <row r="14" spans="1:13" x14ac:dyDescent="0.25">
      <c r="A14" s="9">
        <v>13</v>
      </c>
      <c r="B14" s="9" t="s">
        <v>94</v>
      </c>
      <c r="C14" s="9" t="s">
        <v>95</v>
      </c>
      <c r="D14" s="9" t="s">
        <v>30</v>
      </c>
      <c r="E14" s="9" t="s">
        <v>96</v>
      </c>
      <c r="F14" s="9" t="s">
        <v>4</v>
      </c>
      <c r="G14" s="9" t="s">
        <v>9</v>
      </c>
      <c r="H14" s="9">
        <f>VLOOKUP(F14,[1]Parámetros!$A$3:$B$6,2,FALSE())*VLOOKUP(G14,[1]Parámetros!$D$3:$E$6,2,FALSE())</f>
        <v>6</v>
      </c>
      <c r="I14" s="9" t="str">
        <f>IF(H14&gt;=Parámetros!$H$6,"Crítico",IF(H14&gt;=Parámetros!$H$5,"Alto",IF(H14&gt;=Parámetros!$H$4,"Medio","Bajo")))</f>
        <v>Alto</v>
      </c>
      <c r="J14" s="9" t="s">
        <v>97</v>
      </c>
      <c r="K14" s="9" t="s">
        <v>98</v>
      </c>
      <c r="L14" s="20">
        <v>46394</v>
      </c>
      <c r="M14" s="9" t="s">
        <v>34</v>
      </c>
    </row>
    <row r="15" spans="1:13" x14ac:dyDescent="0.25">
      <c r="A15" s="9">
        <v>14</v>
      </c>
      <c r="B15" s="9" t="s">
        <v>99</v>
      </c>
      <c r="C15" s="9" t="s">
        <v>100</v>
      </c>
      <c r="D15" s="9" t="s">
        <v>37</v>
      </c>
      <c r="E15" s="9" t="s">
        <v>101</v>
      </c>
      <c r="F15" s="9" t="s">
        <v>4</v>
      </c>
      <c r="G15" s="9" t="s">
        <v>9</v>
      </c>
      <c r="H15" s="9">
        <f>VLOOKUP(F15,[1]Parámetros!$A$3:$B$6,2,FALSE())*VLOOKUP(G15,[1]Parámetros!$D$3:$E$6,2,FALSE())</f>
        <v>6</v>
      </c>
      <c r="I15" s="9" t="str">
        <f>IF(H15&gt;=Parámetros!$H$6,"Crítico",IF(H15&gt;=Parámetros!$H$5,"Alto",IF(H15&gt;=Parámetros!$H$4,"Medio","Bajo")))</f>
        <v>Alto</v>
      </c>
      <c r="J15" s="9" t="s">
        <v>102</v>
      </c>
      <c r="K15" s="9" t="s">
        <v>103</v>
      </c>
      <c r="L15" s="20">
        <v>46484</v>
      </c>
      <c r="M15" s="9" t="s">
        <v>34</v>
      </c>
    </row>
    <row r="16" spans="1:13" x14ac:dyDescent="0.25">
      <c r="A16" s="9">
        <v>15</v>
      </c>
      <c r="B16" s="9" t="s">
        <v>104</v>
      </c>
      <c r="C16" s="9" t="s">
        <v>105</v>
      </c>
      <c r="D16" s="9" t="s">
        <v>58</v>
      </c>
      <c r="E16" s="9" t="s">
        <v>106</v>
      </c>
      <c r="F16" s="9" t="s">
        <v>5</v>
      </c>
      <c r="G16" s="9" t="s">
        <v>8</v>
      </c>
      <c r="H16" s="9">
        <f>VLOOKUP(F16,[1]Parámetros!$A$3:$B$6,2,FALSE())*VLOOKUP(G16,[1]Parámetros!$D$3:$E$6,2,FALSE())</f>
        <v>6</v>
      </c>
      <c r="I16" s="9" t="str">
        <f>IF(H16&gt;=Parámetros!$H$6,"Crítico",IF(H16&gt;=Parámetros!$H$5,"Alto",IF(H16&gt;=Parámetros!$H$4,"Medio","Bajo")))</f>
        <v>Alto</v>
      </c>
      <c r="J16" s="9" t="s">
        <v>107</v>
      </c>
      <c r="K16" s="9" t="s">
        <v>108</v>
      </c>
      <c r="L16" s="20">
        <v>46394</v>
      </c>
      <c r="M16" s="9" t="s">
        <v>34</v>
      </c>
    </row>
    <row r="17" spans="1:13" x14ac:dyDescent="0.25">
      <c r="A17" s="9">
        <v>16</v>
      </c>
      <c r="B17" s="9" t="s">
        <v>109</v>
      </c>
      <c r="C17" s="9" t="s">
        <v>110</v>
      </c>
      <c r="D17" s="9" t="s">
        <v>90</v>
      </c>
      <c r="E17" s="9" t="s">
        <v>111</v>
      </c>
      <c r="F17" s="9" t="s">
        <v>3</v>
      </c>
      <c r="G17" s="9" t="s">
        <v>10</v>
      </c>
      <c r="H17" s="9">
        <f>VLOOKUP(F17,[1]Parámetros!$A$3:$B$6,2,FALSE())*VLOOKUP(G17,[1]Parámetros!$D$3:$E$6,2,FALSE())</f>
        <v>4</v>
      </c>
      <c r="I17" s="9" t="str">
        <f>IF(H17&gt;=Parámetros!$H$6,"Crítico",IF(H17&gt;=Parámetros!$H$5,"Alto",IF(H17&gt;=Parámetros!$H$4,"Medio","Bajo")))</f>
        <v>Medio</v>
      </c>
      <c r="J17" s="9" t="s">
        <v>112</v>
      </c>
      <c r="K17" s="9" t="s">
        <v>113</v>
      </c>
      <c r="L17" s="20">
        <v>46667</v>
      </c>
      <c r="M17" s="9" t="s">
        <v>34</v>
      </c>
    </row>
    <row r="18" spans="1:13" x14ac:dyDescent="0.25">
      <c r="A18" s="9">
        <v>17</v>
      </c>
      <c r="B18" s="9" t="s">
        <v>114</v>
      </c>
      <c r="C18" s="9" t="s">
        <v>115</v>
      </c>
      <c r="D18" s="9" t="s">
        <v>37</v>
      </c>
      <c r="E18" s="9" t="s">
        <v>116</v>
      </c>
      <c r="F18" s="9" t="s">
        <v>3</v>
      </c>
      <c r="G18" s="9" t="s">
        <v>10</v>
      </c>
      <c r="H18" s="9">
        <f>VLOOKUP(F18,[1]Parámetros!$A$3:$B$6,2,FALSE())*VLOOKUP(G18,[1]Parámetros!$D$3:$E$6,2,FALSE())</f>
        <v>4</v>
      </c>
      <c r="I18" s="9" t="str">
        <f>IF(H18&gt;=Parámetros!$H$6,"Crítico",IF(H18&gt;=Parámetros!$H$5,"Alto",IF(H18&gt;=Parámetros!$H$4,"Medio","Bajo")))</f>
        <v>Medio</v>
      </c>
      <c r="J18" s="9" t="s">
        <v>70</v>
      </c>
      <c r="K18" s="9" t="s">
        <v>117</v>
      </c>
      <c r="L18" s="20">
        <v>46667</v>
      </c>
      <c r="M18" s="9" t="s">
        <v>34</v>
      </c>
    </row>
    <row r="19" spans="1:13" x14ac:dyDescent="0.25">
      <c r="A19" s="9">
        <v>18</v>
      </c>
      <c r="B19" s="9" t="s">
        <v>118</v>
      </c>
      <c r="C19" s="9" t="s">
        <v>119</v>
      </c>
      <c r="D19" s="9" t="s">
        <v>84</v>
      </c>
      <c r="E19" s="9" t="s">
        <v>120</v>
      </c>
      <c r="F19" s="9" t="s">
        <v>5</v>
      </c>
      <c r="G19" s="9" t="s">
        <v>9</v>
      </c>
      <c r="H19" s="9">
        <f>VLOOKUP(F19,[1]Parámetros!$A$3:$B$6,2,FALSE())*VLOOKUP(G19,[1]Parámetros!$D$3:$E$6,2,FALSE())</f>
        <v>4</v>
      </c>
      <c r="I19" s="9" t="str">
        <f>IF(H19&gt;=Parámetros!$H$6,"Crítico",IF(H19&gt;=Parámetros!$H$5,"Alto",IF(H19&gt;=Parámetros!$H$4,"Medio","Bajo")))</f>
        <v>Medio</v>
      </c>
      <c r="J19" s="9" t="s">
        <v>121</v>
      </c>
      <c r="K19" s="9" t="s">
        <v>122</v>
      </c>
      <c r="L19" s="20">
        <v>46484</v>
      </c>
      <c r="M19" s="9" t="s">
        <v>34</v>
      </c>
    </row>
    <row r="20" spans="1:13" x14ac:dyDescent="0.25">
      <c r="A20" s="9">
        <v>19</v>
      </c>
      <c r="B20" s="9" t="s">
        <v>123</v>
      </c>
      <c r="C20" s="9" t="s">
        <v>124</v>
      </c>
      <c r="D20" s="9" t="s">
        <v>30</v>
      </c>
      <c r="E20" s="9" t="s">
        <v>125</v>
      </c>
      <c r="F20" s="9" t="s">
        <v>5</v>
      </c>
      <c r="G20" s="9" t="s">
        <v>9</v>
      </c>
      <c r="H20" s="9">
        <f>VLOOKUP(F20,[1]Parámetros!$A$3:$B$6,2,FALSE())*VLOOKUP(G20,[1]Parámetros!$D$3:$E$6,2,FALSE())</f>
        <v>4</v>
      </c>
      <c r="I20" s="9" t="str">
        <f>IF(H20&gt;=Parámetros!$H$6,"Crítico",IF(H20&gt;=Parámetros!$H$5,"Alto",IF(H20&gt;=Parámetros!$H$4,"Medio","Bajo")))</f>
        <v>Medio</v>
      </c>
      <c r="J20" s="9" t="s">
        <v>65</v>
      </c>
      <c r="K20" s="9" t="s">
        <v>126</v>
      </c>
      <c r="L20" s="20">
        <v>46484</v>
      </c>
      <c r="M20" s="9" t="s">
        <v>34</v>
      </c>
    </row>
    <row r="21" spans="1:13" x14ac:dyDescent="0.25">
      <c r="A21" s="9">
        <v>20</v>
      </c>
      <c r="B21" s="9" t="s">
        <v>127</v>
      </c>
      <c r="C21" s="9" t="s">
        <v>100</v>
      </c>
      <c r="D21" s="9" t="s">
        <v>58</v>
      </c>
      <c r="E21" s="9" t="s">
        <v>128</v>
      </c>
      <c r="F21" s="9" t="s">
        <v>5</v>
      </c>
      <c r="G21" s="9" t="s">
        <v>9</v>
      </c>
      <c r="H21" s="9">
        <f>VLOOKUP(F21,[1]Parámetros!$A$3:$B$6,2,FALSE())*VLOOKUP(G21,[1]Parámetros!$D$3:$E$6,2,FALSE())</f>
        <v>4</v>
      </c>
      <c r="I21" s="9" t="str">
        <f>IF(H21&gt;=Parámetros!$H$6,"Crítico",IF(H21&gt;=Parámetros!$H$5,"Alto",IF(H21&gt;=Parámetros!$H$4,"Medio","Bajo")))</f>
        <v>Medio</v>
      </c>
      <c r="J21" s="9" t="s">
        <v>129</v>
      </c>
      <c r="K21" s="9" t="s">
        <v>130</v>
      </c>
      <c r="L21" s="20">
        <v>46484</v>
      </c>
      <c r="M21" s="9" t="s">
        <v>34</v>
      </c>
    </row>
    <row r="22" spans="1:13" x14ac:dyDescent="0.25">
      <c r="A22" s="9">
        <v>21</v>
      </c>
      <c r="B22" s="9" t="s">
        <v>131</v>
      </c>
      <c r="C22" s="9" t="s">
        <v>132</v>
      </c>
      <c r="D22" s="9" t="s">
        <v>58</v>
      </c>
      <c r="E22" s="9" t="s">
        <v>133</v>
      </c>
      <c r="F22" s="9" t="s">
        <v>4</v>
      </c>
      <c r="G22" s="9" t="s">
        <v>10</v>
      </c>
      <c r="H22" s="9">
        <f>VLOOKUP(F22,[1]Parámetros!$A$3:$B$6,2,FALSE())*VLOOKUP(G22,[1]Parámetros!$D$3:$E$6,2,FALSE())</f>
        <v>3</v>
      </c>
      <c r="I22" s="9" t="str">
        <f>IF(H22&gt;=Parámetros!$H$6,"Crítico",IF(H22&gt;=Parámetros!$H$5,"Alto",IF(H22&gt;=Parámetros!$H$4,"Medio","Bajo")))</f>
        <v>Medio</v>
      </c>
      <c r="J22" s="9" t="s">
        <v>60</v>
      </c>
      <c r="K22" s="9" t="s">
        <v>134</v>
      </c>
      <c r="L22" s="20">
        <v>46484</v>
      </c>
      <c r="M22" s="9" t="s">
        <v>34</v>
      </c>
    </row>
    <row r="23" spans="1:13" x14ac:dyDescent="0.25">
      <c r="A23" s="9">
        <v>22</v>
      </c>
      <c r="B23" s="9" t="s">
        <v>135</v>
      </c>
      <c r="C23" s="9" t="s">
        <v>89</v>
      </c>
      <c r="D23" s="9" t="s">
        <v>58</v>
      </c>
      <c r="E23" s="9" t="s">
        <v>136</v>
      </c>
      <c r="F23" s="9" t="s">
        <v>6</v>
      </c>
      <c r="G23" s="9" t="s">
        <v>8</v>
      </c>
      <c r="H23" s="9">
        <f>VLOOKUP(F23,[1]Parámetros!$A$3:$B$6,2,FALSE())*VLOOKUP(G23,[1]Parámetros!$D$3:$E$6,2,FALSE())</f>
        <v>3</v>
      </c>
      <c r="I23" s="9" t="str">
        <f>IF(H23&gt;=Parámetros!$H$6,"Crítico",IF(H23&gt;=Parámetros!$H$5,"Alto",IF(H23&gt;=Parámetros!$H$4,"Medio","Bajo")))</f>
        <v>Medio</v>
      </c>
      <c r="J23" s="9" t="s">
        <v>107</v>
      </c>
      <c r="K23" s="9" t="s">
        <v>137</v>
      </c>
      <c r="L23" s="20">
        <v>46394</v>
      </c>
      <c r="M23" s="9" t="s">
        <v>34</v>
      </c>
    </row>
    <row r="24" spans="1:13" x14ac:dyDescent="0.25">
      <c r="A24" s="9">
        <v>23</v>
      </c>
      <c r="B24" s="9" t="s">
        <v>138</v>
      </c>
      <c r="C24" s="9" t="s">
        <v>95</v>
      </c>
      <c r="D24" s="9" t="s">
        <v>90</v>
      </c>
      <c r="E24" s="9" t="s">
        <v>139</v>
      </c>
      <c r="F24" s="9" t="s">
        <v>5</v>
      </c>
      <c r="G24" s="9" t="s">
        <v>10</v>
      </c>
      <c r="H24" s="9">
        <f>VLOOKUP(F24,[1]Parámetros!$A$3:$B$6,2,FALSE())*VLOOKUP(G24,[1]Parámetros!$D$3:$E$6,2,FALSE())</f>
        <v>2</v>
      </c>
      <c r="I24" s="9" t="str">
        <f>IF(H24&gt;=Parámetros!$H$6,"Crítico",IF(H24&gt;=Parámetros!$H$5,"Alto",IF(H24&gt;=Parámetros!$H$4,"Medio","Bajo")))</f>
        <v>Bajo</v>
      </c>
      <c r="J24" s="9" t="s">
        <v>140</v>
      </c>
      <c r="K24" s="9" t="s">
        <v>141</v>
      </c>
      <c r="L24" s="20">
        <v>46667</v>
      </c>
      <c r="M24" s="9" t="s">
        <v>34</v>
      </c>
    </row>
    <row r="25" spans="1:13" x14ac:dyDescent="0.25">
      <c r="A25" s="9">
        <v>24</v>
      </c>
      <c r="B25" s="9" t="s">
        <v>142</v>
      </c>
      <c r="C25" s="9" t="s">
        <v>143</v>
      </c>
      <c r="D25" s="9" t="s">
        <v>58</v>
      </c>
      <c r="E25" s="9" t="s">
        <v>144</v>
      </c>
      <c r="F25" s="9" t="s">
        <v>6</v>
      </c>
      <c r="G25" s="9" t="s">
        <v>9</v>
      </c>
      <c r="H25" s="9">
        <f>VLOOKUP(F25,[1]Parámetros!$A$3:$B$6,2,FALSE())*VLOOKUP(G25,[1]Parámetros!$D$3:$E$6,2,FALSE())</f>
        <v>2</v>
      </c>
      <c r="I25" s="9" t="str">
        <f>IF(H25&gt;=Parámetros!$H$6,"Crítico",IF(H25&gt;=Parámetros!$H$5,"Alto",IF(H25&gt;=Parámetros!$H$4,"Medio","Bajo")))</f>
        <v>Bajo</v>
      </c>
      <c r="J25" s="9" t="s">
        <v>145</v>
      </c>
      <c r="K25" s="9" t="s">
        <v>146</v>
      </c>
      <c r="L25" s="22">
        <v>46667</v>
      </c>
      <c r="M25" s="9" t="s">
        <v>34</v>
      </c>
    </row>
    <row r="26" spans="1:13" x14ac:dyDescent="0.25">
      <c r="A26" s="9">
        <v>25</v>
      </c>
      <c r="B26" s="9" t="s">
        <v>147</v>
      </c>
      <c r="C26" s="9" t="s">
        <v>52</v>
      </c>
      <c r="D26" s="9" t="s">
        <v>90</v>
      </c>
      <c r="E26" s="9" t="s">
        <v>148</v>
      </c>
      <c r="F26" s="9" t="s">
        <v>6</v>
      </c>
      <c r="G26" s="9" t="s">
        <v>10</v>
      </c>
      <c r="H26" s="9">
        <f>VLOOKUP(F26,[1]Parámetros!$A$3:$B$6,2,FALSE())*VLOOKUP(G26,[1]Parámetros!$D$3:$E$6,2,FALSE())</f>
        <v>1</v>
      </c>
      <c r="I26" s="9" t="str">
        <f>IF(H26&gt;=Parámetros!$H$6,"Crítico",IF(H26&gt;=Parámetros!$H$5,"Alto",IF(H26&gt;=Parámetros!$H$4,"Medio","Bajo")))</f>
        <v>Bajo</v>
      </c>
      <c r="J26" s="9" t="s">
        <v>75</v>
      </c>
      <c r="K26" s="9" t="s">
        <v>149</v>
      </c>
      <c r="L26" s="23">
        <v>46667</v>
      </c>
      <c r="M26" s="9" t="s">
        <v>34</v>
      </c>
    </row>
  </sheetData>
  <conditionalFormatting sqref="I2:I26">
    <cfRule type="cellIs" dxfId="19" priority="1" operator="equal">
      <formula>"Crítico"</formula>
    </cfRule>
    <cfRule type="cellIs" dxfId="18" priority="2" operator="equal">
      <formula>"Alto"</formula>
    </cfRule>
    <cfRule type="cellIs" dxfId="17" priority="3" operator="equal">
      <formula>"Medio"</formula>
    </cfRule>
    <cfRule type="cellIs" dxfId="16" priority="4" operator="equal">
      <formula>"Bajo"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1FB7-75E2-48E3-8DB0-39A8226FF1B4}">
  <dimension ref="A1:M11"/>
  <sheetViews>
    <sheetView workbookViewId="0">
      <selection activeCell="K16" sqref="K16"/>
    </sheetView>
  </sheetViews>
  <sheetFormatPr baseColWidth="10" defaultRowHeight="15" x14ac:dyDescent="0.25"/>
  <cols>
    <col min="1" max="1" width="5.42578125" bestFit="1" customWidth="1"/>
    <col min="2" max="2" width="4.7109375" bestFit="1" customWidth="1"/>
    <col min="3" max="3" width="19" bestFit="1" customWidth="1"/>
    <col min="4" max="4" width="21.5703125" bestFit="1" customWidth="1"/>
    <col min="5" max="5" width="68.5703125" bestFit="1" customWidth="1"/>
    <col min="6" max="6" width="8.28515625" bestFit="1" customWidth="1"/>
    <col min="7" max="7" width="12.28515625" bestFit="1" customWidth="1"/>
    <col min="8" max="8" width="7.28515625" bestFit="1" customWidth="1"/>
    <col min="9" max="9" width="7.140625" bestFit="1" customWidth="1"/>
    <col min="10" max="10" width="25.7109375" bestFit="1" customWidth="1"/>
    <col min="11" max="11" width="83.5703125" bestFit="1" customWidth="1"/>
    <col min="12" max="12" width="14.42578125" bestFit="1" customWidth="1"/>
    <col min="13" max="13" width="7.28515625" bestFit="1" customWidth="1"/>
  </cols>
  <sheetData>
    <row r="1" spans="1:13" x14ac:dyDescent="0.25">
      <c r="A1" s="21" t="s">
        <v>12</v>
      </c>
      <c r="B1" s="21" t="s">
        <v>150</v>
      </c>
      <c r="C1" s="21" t="s">
        <v>151</v>
      </c>
      <c r="D1" s="21" t="s">
        <v>15</v>
      </c>
      <c r="E1" s="21" t="s">
        <v>16</v>
      </c>
      <c r="F1" s="21" t="s">
        <v>0</v>
      </c>
      <c r="G1" s="21" t="s">
        <v>2</v>
      </c>
      <c r="H1" s="21" t="s">
        <v>17</v>
      </c>
      <c r="I1" s="21" t="s">
        <v>18</v>
      </c>
      <c r="J1" s="21" t="s">
        <v>19</v>
      </c>
      <c r="K1" s="21" t="s">
        <v>152</v>
      </c>
      <c r="L1" s="21" t="s">
        <v>153</v>
      </c>
      <c r="M1" s="21" t="s">
        <v>22</v>
      </c>
    </row>
    <row r="2" spans="1:13" x14ac:dyDescent="0.25">
      <c r="A2" s="9">
        <v>1</v>
      </c>
      <c r="B2" s="9" t="s">
        <v>28</v>
      </c>
      <c r="C2" s="9" t="s">
        <v>29</v>
      </c>
      <c r="D2" s="9" t="s">
        <v>30</v>
      </c>
      <c r="E2" s="9" t="s">
        <v>31</v>
      </c>
      <c r="F2" s="9" t="s">
        <v>3</v>
      </c>
      <c r="G2" s="9" t="s">
        <v>11</v>
      </c>
      <c r="H2" s="9">
        <f>VLOOKUP(F2,[1]Parámetros!$A$3:$B$6,2,FALSE())*VLOOKUP(G2,[1]Parámetros!$D$3:$E$6,2,FALSE())</f>
        <v>16</v>
      </c>
      <c r="I2" s="9" t="str">
        <f>IF(H2&gt;=Parámetros!$H$6,"Crítico",IF(H2&gt;=Parámetros!$H$5,"Alto",IF(H2&gt;=Parámetros!$H$4,"Medio","Bajo")))</f>
        <v>Crítico</v>
      </c>
      <c r="J2" s="9" t="s">
        <v>32</v>
      </c>
      <c r="K2" s="9" t="s">
        <v>33</v>
      </c>
      <c r="L2" s="20">
        <v>46394</v>
      </c>
      <c r="M2" s="9" t="s">
        <v>34</v>
      </c>
    </row>
    <row r="3" spans="1:13" x14ac:dyDescent="0.25">
      <c r="A3" s="9">
        <v>2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</v>
      </c>
      <c r="G3" s="9" t="s">
        <v>8</v>
      </c>
      <c r="H3" s="9">
        <f>VLOOKUP(F3,[1]Parámetros!$A$3:$B$6,2,FALSE())*VLOOKUP(G3,[1]Parámetros!$D$3:$E$6,2,FALSE())</f>
        <v>12</v>
      </c>
      <c r="I3" s="9" t="str">
        <f>IF(H3&gt;=Parámetros!$H$6,"Crítico",IF(H3&gt;=Parámetros!$H$5,"Alto",IF(H3&gt;=Parámetros!$H$4,"Medio","Bajo")))</f>
        <v>Crítico</v>
      </c>
      <c r="J3" s="9" t="s">
        <v>39</v>
      </c>
      <c r="K3" s="9" t="s">
        <v>40</v>
      </c>
      <c r="L3" s="20">
        <v>46484</v>
      </c>
      <c r="M3" s="9" t="s">
        <v>34</v>
      </c>
    </row>
    <row r="4" spans="1:13" x14ac:dyDescent="0.25">
      <c r="A4" s="9">
        <v>3</v>
      </c>
      <c r="B4" s="9" t="s">
        <v>41</v>
      </c>
      <c r="C4" s="9" t="s">
        <v>42</v>
      </c>
      <c r="D4" s="9" t="s">
        <v>37</v>
      </c>
      <c r="E4" s="9" t="s">
        <v>43</v>
      </c>
      <c r="F4" s="9" t="s">
        <v>3</v>
      </c>
      <c r="G4" s="9" t="s">
        <v>8</v>
      </c>
      <c r="H4" s="9">
        <f>VLOOKUP(F4,[1]Parámetros!$A$3:$B$6,2,FALSE())*VLOOKUP(G4,[1]Parámetros!$D$3:$E$6,2,FALSE())</f>
        <v>12</v>
      </c>
      <c r="I4" s="9" t="str">
        <f>IF(H4&gt;=Parámetros!$H$6,"Crítico",IF(H4&gt;=Parámetros!$H$5,"Alto",IF(H4&gt;=Parámetros!$H$4,"Medio","Bajo")))</f>
        <v>Crítico</v>
      </c>
      <c r="J4" s="9" t="s">
        <v>44</v>
      </c>
      <c r="K4" s="9" t="s">
        <v>45</v>
      </c>
      <c r="L4" s="20">
        <v>46394</v>
      </c>
      <c r="M4" s="9" t="s">
        <v>34</v>
      </c>
    </row>
    <row r="5" spans="1:13" x14ac:dyDescent="0.25">
      <c r="A5" s="9">
        <v>4</v>
      </c>
      <c r="B5" s="9" t="s">
        <v>46</v>
      </c>
      <c r="C5" s="9" t="s">
        <v>42</v>
      </c>
      <c r="D5" s="9" t="s">
        <v>47</v>
      </c>
      <c r="E5" s="9" t="s">
        <v>48</v>
      </c>
      <c r="F5" s="9" t="s">
        <v>4</v>
      </c>
      <c r="G5" s="9" t="s">
        <v>8</v>
      </c>
      <c r="H5" s="9">
        <f>VLOOKUP(F5,[1]Parámetros!$A$3:$B$6,2,FALSE())*VLOOKUP(G5,[1]Parámetros!$D$3:$E$6,2,FALSE())</f>
        <v>9</v>
      </c>
      <c r="I5" s="9" t="str">
        <f>IF(H5&gt;=Parámetros!$H$6,"Crítico",IF(H5&gt;=Parámetros!$H$5,"Alto",IF(H5&gt;=Parámetros!$H$4,"Medio","Bajo")))</f>
        <v>Crítico</v>
      </c>
      <c r="J5" s="9" t="s">
        <v>49</v>
      </c>
      <c r="K5" s="9" t="s">
        <v>50</v>
      </c>
      <c r="L5" s="20">
        <v>46394</v>
      </c>
      <c r="M5" s="9" t="s">
        <v>34</v>
      </c>
    </row>
    <row r="6" spans="1:13" x14ac:dyDescent="0.25">
      <c r="A6" s="9">
        <v>5</v>
      </c>
      <c r="B6" s="9" t="s">
        <v>51</v>
      </c>
      <c r="C6" s="9" t="s">
        <v>52</v>
      </c>
      <c r="D6" s="9" t="s">
        <v>30</v>
      </c>
      <c r="E6" s="9" t="s">
        <v>53</v>
      </c>
      <c r="F6" s="9" t="s">
        <v>4</v>
      </c>
      <c r="G6" s="9" t="s">
        <v>8</v>
      </c>
      <c r="H6" s="9">
        <f>VLOOKUP(F6,[1]Parámetros!$A$3:$B$6,2,FALSE())*VLOOKUP(G6,[1]Parámetros!$D$3:$E$6,2,FALSE())</f>
        <v>9</v>
      </c>
      <c r="I6" s="9" t="str">
        <f>IF(H6&gt;=Parámetros!$H$6,"Crítico",IF(H6&gt;=Parámetros!$H$5,"Alto",IF(H6&gt;=Parámetros!$H$4,"Medio","Bajo")))</f>
        <v>Crítico</v>
      </c>
      <c r="J6" s="9" t="s">
        <v>54</v>
      </c>
      <c r="K6" s="9" t="s">
        <v>55</v>
      </c>
      <c r="L6" s="20">
        <v>46484</v>
      </c>
      <c r="M6" s="9" t="s">
        <v>34</v>
      </c>
    </row>
    <row r="7" spans="1:13" x14ac:dyDescent="0.25">
      <c r="A7" s="9">
        <v>6</v>
      </c>
      <c r="B7" s="9" t="s">
        <v>56</v>
      </c>
      <c r="C7" s="9" t="s">
        <v>57</v>
      </c>
      <c r="D7" s="9" t="s">
        <v>58</v>
      </c>
      <c r="E7" s="9" t="s">
        <v>59</v>
      </c>
      <c r="F7" s="9" t="s">
        <v>3</v>
      </c>
      <c r="G7" s="9" t="s">
        <v>9</v>
      </c>
      <c r="H7" s="9">
        <f>VLOOKUP(F7,[1]Parámetros!$A$3:$B$6,2,FALSE())*VLOOKUP(G7,[1]Parámetros!$D$3:$E$6,2,FALSE())</f>
        <v>8</v>
      </c>
      <c r="I7" s="9" t="str">
        <f>IF(H7&gt;=Parámetros!$H$6,"Crítico",IF(H7&gt;=Parámetros!$H$5,"Alto",IF(H7&gt;=Parámetros!$H$4,"Medio","Bajo")))</f>
        <v>Alto</v>
      </c>
      <c r="J7" s="9" t="s">
        <v>60</v>
      </c>
      <c r="K7" s="9" t="s">
        <v>61</v>
      </c>
      <c r="L7" s="20">
        <v>46484</v>
      </c>
      <c r="M7" s="9" t="s">
        <v>34</v>
      </c>
    </row>
    <row r="8" spans="1:13" x14ac:dyDescent="0.25">
      <c r="A8" s="9">
        <v>7</v>
      </c>
      <c r="B8" s="9" t="s">
        <v>62</v>
      </c>
      <c r="C8" s="9" t="s">
        <v>63</v>
      </c>
      <c r="D8" s="9" t="s">
        <v>47</v>
      </c>
      <c r="E8" s="9" t="s">
        <v>64</v>
      </c>
      <c r="F8" s="9" t="s">
        <v>3</v>
      </c>
      <c r="G8" s="9" t="s">
        <v>9</v>
      </c>
      <c r="H8" s="9">
        <f>VLOOKUP(F8,[1]Parámetros!$A$3:$B$6,2,FALSE())*VLOOKUP(G8,[1]Parámetros!$D$3:$E$6,2,FALSE())</f>
        <v>8</v>
      </c>
      <c r="I8" s="9" t="str">
        <f>IF(H8&gt;=Parámetros!$H$6,"Crítico",IF(H8&gt;=Parámetros!$H$5,"Alto",IF(H8&gt;=Parámetros!$H$4,"Medio","Bajo")))</f>
        <v>Alto</v>
      </c>
      <c r="J8" s="9" t="s">
        <v>65</v>
      </c>
      <c r="K8" s="9" t="s">
        <v>66</v>
      </c>
      <c r="L8" s="20">
        <v>46484</v>
      </c>
      <c r="M8" s="9" t="s">
        <v>34</v>
      </c>
    </row>
    <row r="9" spans="1:13" x14ac:dyDescent="0.25">
      <c r="A9" s="9">
        <v>8</v>
      </c>
      <c r="B9" s="9" t="s">
        <v>67</v>
      </c>
      <c r="C9" s="9" t="s">
        <v>68</v>
      </c>
      <c r="D9" s="9" t="s">
        <v>37</v>
      </c>
      <c r="E9" s="9" t="s">
        <v>69</v>
      </c>
      <c r="F9" s="9" t="s">
        <v>3</v>
      </c>
      <c r="G9" s="9" t="s">
        <v>9</v>
      </c>
      <c r="H9" s="9">
        <f>VLOOKUP(F9,[1]Parámetros!$A$3:$B$6,2,FALSE())*VLOOKUP(G9,[1]Parámetros!$D$3:$E$6,2,FALSE())</f>
        <v>8</v>
      </c>
      <c r="I9" s="9" t="str">
        <f>IF(H9&gt;=Parámetros!$H$6,"Crítico",IF(H9&gt;=Parámetros!$H$5,"Alto",IF(H9&gt;=Parámetros!$H$4,"Medio","Bajo")))</f>
        <v>Alto</v>
      </c>
      <c r="J9" s="9" t="s">
        <v>70</v>
      </c>
      <c r="K9" s="9" t="s">
        <v>71</v>
      </c>
      <c r="L9" s="20">
        <v>46484</v>
      </c>
      <c r="M9" s="9" t="s">
        <v>34</v>
      </c>
    </row>
    <row r="10" spans="1:13" x14ac:dyDescent="0.25">
      <c r="A10" s="9">
        <v>9</v>
      </c>
      <c r="B10" s="9" t="s">
        <v>72</v>
      </c>
      <c r="C10" s="9" t="s">
        <v>73</v>
      </c>
      <c r="D10" s="9" t="s">
        <v>58</v>
      </c>
      <c r="E10" s="9" t="s">
        <v>74</v>
      </c>
      <c r="F10" s="9" t="s">
        <v>3</v>
      </c>
      <c r="G10" s="9" t="s">
        <v>9</v>
      </c>
      <c r="H10" s="9">
        <f>VLOOKUP(F10,[1]Parámetros!$A$3:$B$6,2,FALSE())*VLOOKUP(G10,[1]Parámetros!$D$3:$E$6,2,FALSE())</f>
        <v>8</v>
      </c>
      <c r="I10" s="9" t="str">
        <f>IF(H10&gt;=Parámetros!$H$6,"Crítico",IF(H10&gt;=Parámetros!$H$5,"Alto",IF(H10&gt;=Parámetros!$H$4,"Medio","Bajo")))</f>
        <v>Alto</v>
      </c>
      <c r="J10" s="9" t="s">
        <v>75</v>
      </c>
      <c r="K10" s="9" t="s">
        <v>76</v>
      </c>
      <c r="L10" s="20">
        <v>46667</v>
      </c>
      <c r="M10" s="9" t="s">
        <v>34</v>
      </c>
    </row>
    <row r="11" spans="1:13" x14ac:dyDescent="0.25">
      <c r="A11" s="9">
        <v>10</v>
      </c>
      <c r="B11" s="9" t="s">
        <v>77</v>
      </c>
      <c r="C11" s="9" t="s">
        <v>78</v>
      </c>
      <c r="D11" s="9" t="s">
        <v>58</v>
      </c>
      <c r="E11" s="9" t="s">
        <v>79</v>
      </c>
      <c r="F11" s="9" t="s">
        <v>3</v>
      </c>
      <c r="G11" s="9" t="s">
        <v>9</v>
      </c>
      <c r="H11" s="9">
        <f>VLOOKUP(F11,[1]Parámetros!$A$3:$B$6,2,FALSE())*VLOOKUP(G11,[1]Parámetros!$D$3:$E$6,2,FALSE())</f>
        <v>8</v>
      </c>
      <c r="I11" s="9" t="str">
        <f>IF(H11&gt;=Parámetros!$H$6,"Crítico",IF(H11&gt;=Parámetros!$H$5,"Alto",IF(H11&gt;=Parámetros!$H$4,"Medio","Bajo")))</f>
        <v>Alto</v>
      </c>
      <c r="J11" s="9" t="s">
        <v>80</v>
      </c>
      <c r="K11" s="9" t="s">
        <v>81</v>
      </c>
      <c r="L11" s="20">
        <v>46394</v>
      </c>
      <c r="M11" s="9" t="s">
        <v>34</v>
      </c>
    </row>
  </sheetData>
  <conditionalFormatting sqref="I2:I11">
    <cfRule type="cellIs" dxfId="3" priority="1" operator="equal">
      <formula>"Crítico"</formula>
    </cfRule>
    <cfRule type="cellIs" dxfId="2" priority="2" operator="equal">
      <formula>"Alto"</formula>
    </cfRule>
    <cfRule type="cellIs" dxfId="1" priority="3" operator="equal">
      <formula>"Medio"</formula>
    </cfRule>
    <cfRule type="cellIs" dxfId="0" priority="4" operator="equal">
      <formula>"Bajo"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Parámetros</vt:lpstr>
      <vt:lpstr>Riesgos</vt:lpstr>
      <vt:lpstr>Top10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Salguero</dc:creator>
  <cp:lastModifiedBy>Diana Salguero</cp:lastModifiedBy>
  <dcterms:created xsi:type="dcterms:W3CDTF">2026-10-10T05:00:39Z</dcterms:created>
  <dcterms:modified xsi:type="dcterms:W3CDTF">2026-10-10T05:31:40Z</dcterms:modified>
</cp:coreProperties>
</file>